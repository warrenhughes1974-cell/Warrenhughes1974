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rren\Documents\GitHub\Warrenhughes1974\docs\"/>
    </mc:Choice>
  </mc:AlternateContent>
  <xr:revisionPtr revIDLastSave="0" documentId="8_{4ED88825-9441-40CC-AD72-8D91CFCA4EF3}" xr6:coauthVersionLast="47" xr6:coauthVersionMax="47" xr10:uidLastSave="{00000000-0000-0000-0000-000000000000}"/>
  <bookViews>
    <workbookView xWindow="1560" yWindow="1560" windowWidth="17010" windowHeight="9825" xr2:uid="{327FF5A0-FA96-494F-BA2B-F601454BEE00}"/>
  </bookViews>
  <sheets>
    <sheet name="Non-ISWL" sheetId="1" r:id="rId1"/>
    <sheet name="ISW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2" l="1"/>
  <c r="D10" i="2"/>
  <c r="D113" i="1"/>
  <c r="D130" i="1"/>
  <c r="D128" i="1"/>
  <c r="D125" i="1"/>
  <c r="D122" i="1"/>
  <c r="D119" i="1"/>
  <c r="D111" i="1"/>
  <c r="D108" i="1"/>
  <c r="D114" i="1" s="1"/>
  <c r="D102" i="1"/>
  <c r="D100" i="1"/>
  <c r="D97" i="1"/>
  <c r="D91" i="1"/>
  <c r="D89" i="1"/>
  <c r="D86" i="1"/>
  <c r="D92" i="1" s="1"/>
  <c r="D80" i="1"/>
  <c r="D78" i="1"/>
  <c r="D75" i="1"/>
  <c r="D69" i="1"/>
  <c r="D67" i="1"/>
  <c r="D64" i="1"/>
  <c r="D58" i="1"/>
  <c r="D56" i="1"/>
  <c r="D53" i="1"/>
  <c r="D59" i="1" s="1"/>
  <c r="D42" i="1"/>
  <c r="D47" i="1"/>
  <c r="D45" i="1"/>
  <c r="D36" i="1"/>
  <c r="D28" i="1"/>
  <c r="D34" i="1"/>
  <c r="D37" i="1" s="1"/>
  <c r="D26" i="1"/>
  <c r="D29" i="1" s="1"/>
  <c r="D15" i="1"/>
  <c r="D20" i="1"/>
  <c r="D6" i="1"/>
  <c r="D9" i="1" s="1"/>
  <c r="D48" i="1" l="1"/>
  <c r="D131" i="1"/>
  <c r="D103" i="1"/>
  <c r="D81" i="1"/>
  <c r="D70" i="1"/>
  <c r="D18" i="1"/>
  <c r="D21" i="1" s="1"/>
  <c r="D7" i="1"/>
  <c r="D10" i="1" s="1"/>
</calcChain>
</file>

<file path=xl/sharedStrings.xml><?xml version="1.0" encoding="utf-8"?>
<sst xmlns="http://schemas.openxmlformats.org/spreadsheetml/2006/main" count="493" uniqueCount="68">
  <si>
    <t>Premiums Paid</t>
  </si>
  <si>
    <t>Div Credited</t>
  </si>
  <si>
    <t>Tax Basis</t>
  </si>
  <si>
    <t>BA</t>
  </si>
  <si>
    <t>PU</t>
  </si>
  <si>
    <t>Tot</t>
  </si>
  <si>
    <t>010310404C</t>
  </si>
  <si>
    <t>CC</t>
  </si>
  <si>
    <t>CE</t>
  </si>
  <si>
    <t>J</t>
  </si>
  <si>
    <t>M</t>
  </si>
  <si>
    <t>N</t>
  </si>
  <si>
    <t>PREMIUMS_PAID</t>
  </si>
  <si>
    <t>DIVIDENDS_CREDITED</t>
  </si>
  <si>
    <t xml:space="preserve">TAX_BASIS  </t>
  </si>
  <si>
    <t>SU_PREMIUMS_PAID</t>
  </si>
  <si>
    <t>AR</t>
  </si>
  <si>
    <t>SL_PREMIUMS_PAID</t>
  </si>
  <si>
    <t>BS</t>
  </si>
  <si>
    <t>SU_TAX_BASIS</t>
  </si>
  <si>
    <t>AT</t>
  </si>
  <si>
    <t>SL_TAX_BASIS</t>
  </si>
  <si>
    <t>BU</t>
  </si>
  <si>
    <t>PU_PREMIUMS_PAID</t>
  </si>
  <si>
    <t>PU_TAX_BASIS</t>
  </si>
  <si>
    <t>010350577C</t>
  </si>
  <si>
    <t>010378830C</t>
  </si>
  <si>
    <t>010380808C</t>
  </si>
  <si>
    <t>Policy</t>
  </si>
  <si>
    <t>Benefit Type Code</t>
  </si>
  <si>
    <t>Category</t>
  </si>
  <si>
    <t>Amount</t>
  </si>
  <si>
    <t>Heading</t>
  </si>
  <si>
    <t>Column</t>
  </si>
  <si>
    <t>010398471C</t>
  </si>
  <si>
    <t>L01 10Y LT</t>
  </si>
  <si>
    <t>SL</t>
  </si>
  <si>
    <t>011185537C</t>
  </si>
  <si>
    <t>670 GL85-M</t>
  </si>
  <si>
    <t>L10 SR OLD</t>
  </si>
  <si>
    <t>L10 LP95</t>
  </si>
  <si>
    <t>011203457C</t>
  </si>
  <si>
    <t>011193243C</t>
  </si>
  <si>
    <t>010469666C</t>
  </si>
  <si>
    <t>960 OL</t>
  </si>
  <si>
    <t>010886099C</t>
  </si>
  <si>
    <t>667 ART</t>
  </si>
  <si>
    <t>SU</t>
  </si>
  <si>
    <t>SAL ML</t>
  </si>
  <si>
    <t>Plan Type</t>
  </si>
  <si>
    <t>659 CEN II</t>
  </si>
  <si>
    <t>010713704C</t>
  </si>
  <si>
    <t>FV</t>
  </si>
  <si>
    <t>Gross Deposits</t>
  </si>
  <si>
    <t>Basis</t>
  </si>
  <si>
    <t>010713707C</t>
  </si>
  <si>
    <t>Gross Withdrawals</t>
  </si>
  <si>
    <t>FV_GR_WITHDRAWALS</t>
  </si>
  <si>
    <t xml:space="preserve">FV_BASIS2  </t>
  </si>
  <si>
    <t>FV_GUAR_DEPOSITS</t>
  </si>
  <si>
    <t>Extract</t>
  </si>
  <si>
    <t>PPBEN_PolicyBenefit_Extract_20260630</t>
  </si>
  <si>
    <t>BG</t>
  </si>
  <si>
    <t>BQ</t>
  </si>
  <si>
    <t>010722516C</t>
  </si>
  <si>
    <t>658 CEN I</t>
  </si>
  <si>
    <t>960 PO</t>
  </si>
  <si>
    <t>PPBENTYP_BenefitType_Extract_20260630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</si>
</sst>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3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0E03-FC69-44CE-B8E4-655BE04B7849}">
  <dimension ref="A1:V407"/>
  <sheetViews>
    <sheetView tabSelected="1" workbookViewId="0">
      <selection activeCell="F6" sqref="F6:F7"/>
    </sheetView>
  </sheetViews>
  <sheetFormatPr defaultRowHeight="15" x14ac:dyDescent="0.25"/>
  <cols>
    <col min="1" max="1" width="13" style="1" customWidth="1"/>
    <col min="2" max="2" width="17.85546875" style="1" bestFit="1" customWidth="1"/>
    <col min="3" max="3" width="16.7109375" style="1" customWidth="1"/>
    <col min="4" max="4" width="12.5703125" style="7" bestFit="1" customWidth="1"/>
    <col min="5" max="5" width="13.7109375" style="1" customWidth="1"/>
    <col min="6" max="6" width="37.28515625" bestFit="1" customWidth="1"/>
    <col min="7" max="7" width="9.140625" style="1"/>
    <col min="8" max="8" width="20.140625" style="1" bestFit="1" customWidth="1"/>
    <col min="9" max="11" width="9.140625" style="1"/>
    <col min="12" max="12" width="18.7109375" style="1" bestFit="1" customWidth="1"/>
    <col min="13" max="13" width="11.85546875" style="1" bestFit="1" customWidth="1"/>
    <col min="14" max="14" width="10.5703125" style="1" bestFit="1" customWidth="1"/>
    <col min="15" max="15" width="9.140625" style="1"/>
    <col min="16" max="17" width="9.42578125" style="1" bestFit="1" customWidth="1"/>
    <col min="18" max="18" width="10.5703125" style="1" bestFit="1" customWidth="1"/>
    <col min="19" max="19" width="9.140625" style="1"/>
    <col min="20" max="20" width="10.5703125" style="1" bestFit="1" customWidth="1"/>
    <col min="21" max="16384" width="9.140625" style="1"/>
  </cols>
  <sheetData>
    <row r="1" spans="1:12" s="4" customFormat="1" ht="15.75" thickBot="1" x14ac:dyDescent="0.3">
      <c r="A1" s="4" t="s">
        <v>28</v>
      </c>
      <c r="B1" s="4" t="s">
        <v>29</v>
      </c>
      <c r="C1" s="4" t="s">
        <v>30</v>
      </c>
      <c r="D1" s="9" t="s">
        <v>31</v>
      </c>
      <c r="E1" s="4" t="s">
        <v>49</v>
      </c>
      <c r="F1" s="4" t="s">
        <v>60</v>
      </c>
      <c r="G1" s="4" t="s">
        <v>33</v>
      </c>
      <c r="H1" s="4" t="s">
        <v>32</v>
      </c>
    </row>
    <row r="2" spans="1:12" x14ac:dyDescent="0.25">
      <c r="A2" s="12" t="s">
        <v>6</v>
      </c>
      <c r="B2" s="13" t="s">
        <v>3</v>
      </c>
      <c r="C2" s="13" t="s">
        <v>0</v>
      </c>
      <c r="D2" s="14">
        <v>12470.9</v>
      </c>
      <c r="E2" s="13" t="s">
        <v>66</v>
      </c>
      <c r="F2" s="13" t="s">
        <v>67</v>
      </c>
      <c r="G2" s="13" t="s">
        <v>9</v>
      </c>
      <c r="H2" s="15" t="s">
        <v>12</v>
      </c>
    </row>
    <row r="3" spans="1:12" x14ac:dyDescent="0.25">
      <c r="A3" s="16" t="s">
        <v>6</v>
      </c>
      <c r="B3" s="1" t="s">
        <v>3</v>
      </c>
      <c r="C3" s="1" t="s">
        <v>1</v>
      </c>
      <c r="D3" s="17">
        <v>8775.75</v>
      </c>
      <c r="F3" s="1" t="s">
        <v>67</v>
      </c>
      <c r="G3" s="1" t="s">
        <v>10</v>
      </c>
      <c r="H3" s="18" t="s">
        <v>13</v>
      </c>
    </row>
    <row r="4" spans="1:12" x14ac:dyDescent="0.25">
      <c r="A4" s="16" t="s">
        <v>6</v>
      </c>
      <c r="B4" s="1" t="s">
        <v>3</v>
      </c>
      <c r="C4" s="1" t="s">
        <v>2</v>
      </c>
      <c r="D4" s="17">
        <v>3695.15</v>
      </c>
      <c r="F4" s="1" t="s">
        <v>67</v>
      </c>
      <c r="G4" s="1" t="s">
        <v>11</v>
      </c>
      <c r="H4" s="18" t="s">
        <v>14</v>
      </c>
    </row>
    <row r="5" spans="1:12" x14ac:dyDescent="0.25">
      <c r="A5" s="16"/>
      <c r="D5" s="17"/>
      <c r="F5" s="1"/>
      <c r="H5" s="18"/>
    </row>
    <row r="6" spans="1:12" x14ac:dyDescent="0.25">
      <c r="A6" s="16" t="s">
        <v>6</v>
      </c>
      <c r="B6" s="1" t="s">
        <v>4</v>
      </c>
      <c r="C6" s="1" t="s">
        <v>0</v>
      </c>
      <c r="D6" s="17">
        <f>4569.15</f>
        <v>4569.1499999999996</v>
      </c>
      <c r="F6" s="1" t="s">
        <v>67</v>
      </c>
      <c r="G6" s="1" t="s">
        <v>7</v>
      </c>
      <c r="H6" s="18" t="s">
        <v>23</v>
      </c>
    </row>
    <row r="7" spans="1:12" x14ac:dyDescent="0.25">
      <c r="A7" s="16" t="s">
        <v>6</v>
      </c>
      <c r="B7" s="1" t="s">
        <v>4</v>
      </c>
      <c r="C7" s="1" t="s">
        <v>2</v>
      </c>
      <c r="D7" s="17">
        <f>D6</f>
        <v>4569.1499999999996</v>
      </c>
      <c r="F7" s="1" t="s">
        <v>67</v>
      </c>
      <c r="G7" s="1" t="s">
        <v>8</v>
      </c>
      <c r="H7" s="18" t="s">
        <v>24</v>
      </c>
    </row>
    <row r="8" spans="1:12" x14ac:dyDescent="0.25">
      <c r="A8" s="16"/>
      <c r="D8" s="17"/>
      <c r="F8" s="1"/>
      <c r="H8" s="18"/>
    </row>
    <row r="9" spans="1:12" x14ac:dyDescent="0.25">
      <c r="A9" s="16" t="s">
        <v>6</v>
      </c>
      <c r="B9" s="1" t="s">
        <v>5</v>
      </c>
      <c r="C9" s="1" t="s">
        <v>0</v>
      </c>
      <c r="D9" s="17">
        <f>D2+D6</f>
        <v>17040.05</v>
      </c>
      <c r="F9" s="1"/>
      <c r="H9" s="18"/>
    </row>
    <row r="10" spans="1:12" ht="15.75" thickBot="1" x14ac:dyDescent="0.3">
      <c r="A10" s="20" t="s">
        <v>6</v>
      </c>
      <c r="B10" s="21" t="s">
        <v>5</v>
      </c>
      <c r="C10" s="21" t="s">
        <v>2</v>
      </c>
      <c r="D10" s="22">
        <f>D4+D7</f>
        <v>8264.2999999999993</v>
      </c>
      <c r="E10" s="21"/>
      <c r="F10" s="21"/>
      <c r="G10" s="21"/>
      <c r="H10" s="23"/>
    </row>
    <row r="11" spans="1:12" x14ac:dyDescent="0.25">
      <c r="F11" s="1"/>
    </row>
    <row r="12" spans="1:12" ht="15.75" thickBot="1" x14ac:dyDescent="0.3">
      <c r="F12" s="1"/>
    </row>
    <row r="13" spans="1:12" x14ac:dyDescent="0.25">
      <c r="A13" s="12" t="s">
        <v>25</v>
      </c>
      <c r="B13" s="13" t="s">
        <v>3</v>
      </c>
      <c r="C13" s="13" t="s">
        <v>0</v>
      </c>
      <c r="D13" s="14">
        <v>4617.18</v>
      </c>
      <c r="E13" s="13" t="s">
        <v>66</v>
      </c>
      <c r="F13" s="13" t="s">
        <v>67</v>
      </c>
      <c r="G13" s="13" t="s">
        <v>9</v>
      </c>
      <c r="H13" s="15" t="s">
        <v>12</v>
      </c>
    </row>
    <row r="14" spans="1:12" x14ac:dyDescent="0.25">
      <c r="A14" s="16" t="s">
        <v>25</v>
      </c>
      <c r="B14" s="1" t="s">
        <v>3</v>
      </c>
      <c r="C14" s="1" t="s">
        <v>1</v>
      </c>
      <c r="D14" s="17">
        <v>2637.9</v>
      </c>
      <c r="F14" s="1" t="s">
        <v>67</v>
      </c>
      <c r="G14" s="1" t="s">
        <v>10</v>
      </c>
      <c r="H14" s="18" t="s">
        <v>13</v>
      </c>
    </row>
    <row r="15" spans="1:12" x14ac:dyDescent="0.25">
      <c r="A15" s="16" t="s">
        <v>25</v>
      </c>
      <c r="B15" s="1" t="s">
        <v>3</v>
      </c>
      <c r="C15" s="1" t="s">
        <v>2</v>
      </c>
      <c r="D15" s="17">
        <f>D13-D14</f>
        <v>1979.2800000000002</v>
      </c>
      <c r="F15" s="1" t="s">
        <v>67</v>
      </c>
      <c r="G15" s="1" t="s">
        <v>11</v>
      </c>
      <c r="H15" s="18" t="s">
        <v>14</v>
      </c>
    </row>
    <row r="16" spans="1:12" x14ac:dyDescent="0.25">
      <c r="A16" s="16"/>
      <c r="D16" s="17"/>
      <c r="F16" s="1"/>
      <c r="H16" s="18"/>
      <c r="L16" s="3"/>
    </row>
    <row r="17" spans="1:12" x14ac:dyDescent="0.25">
      <c r="A17" s="16" t="s">
        <v>25</v>
      </c>
      <c r="B17" s="1" t="s">
        <v>4</v>
      </c>
      <c r="C17" s="1" t="s">
        <v>0</v>
      </c>
      <c r="D17" s="17">
        <v>2637.9</v>
      </c>
      <c r="F17" s="1" t="s">
        <v>67</v>
      </c>
      <c r="G17" s="1" t="s">
        <v>7</v>
      </c>
      <c r="H17" s="18" t="s">
        <v>23</v>
      </c>
    </row>
    <row r="18" spans="1:12" x14ac:dyDescent="0.25">
      <c r="A18" s="16" t="s">
        <v>25</v>
      </c>
      <c r="B18" s="1" t="s">
        <v>4</v>
      </c>
      <c r="C18" s="1" t="s">
        <v>2</v>
      </c>
      <c r="D18" s="17">
        <f>D17</f>
        <v>2637.9</v>
      </c>
      <c r="F18" s="1" t="s">
        <v>67</v>
      </c>
      <c r="G18" s="1" t="s">
        <v>8</v>
      </c>
      <c r="H18" s="18" t="s">
        <v>24</v>
      </c>
      <c r="L18" s="3"/>
    </row>
    <row r="19" spans="1:12" x14ac:dyDescent="0.25">
      <c r="A19" s="16"/>
      <c r="D19" s="17"/>
      <c r="F19" s="1"/>
      <c r="H19" s="18"/>
    </row>
    <row r="20" spans="1:12" x14ac:dyDescent="0.25">
      <c r="A20" s="16" t="s">
        <v>25</v>
      </c>
      <c r="B20" s="1" t="s">
        <v>5</v>
      </c>
      <c r="C20" s="1" t="s">
        <v>0</v>
      </c>
      <c r="D20" s="17">
        <f>D13+D17</f>
        <v>7255.08</v>
      </c>
      <c r="F20" s="1"/>
      <c r="H20" s="18"/>
    </row>
    <row r="21" spans="1:12" ht="15.75" thickBot="1" x14ac:dyDescent="0.3">
      <c r="A21" s="20" t="s">
        <v>25</v>
      </c>
      <c r="B21" s="21" t="s">
        <v>5</v>
      </c>
      <c r="C21" s="21" t="s">
        <v>2</v>
      </c>
      <c r="D21" s="22">
        <f>D15+D18</f>
        <v>4617.18</v>
      </c>
      <c r="E21" s="21"/>
      <c r="F21" s="21"/>
      <c r="G21" s="21"/>
      <c r="H21" s="23"/>
    </row>
    <row r="22" spans="1:12" x14ac:dyDescent="0.25">
      <c r="F22" s="1"/>
    </row>
    <row r="23" spans="1:12" ht="15.75" thickBot="1" x14ac:dyDescent="0.3">
      <c r="F23" s="1"/>
    </row>
    <row r="24" spans="1:12" x14ac:dyDescent="0.25">
      <c r="A24" s="12" t="s">
        <v>26</v>
      </c>
      <c r="B24" s="13" t="s">
        <v>3</v>
      </c>
      <c r="C24" s="13" t="s">
        <v>0</v>
      </c>
      <c r="D24" s="14">
        <v>7352.31</v>
      </c>
      <c r="E24" s="13" t="s">
        <v>66</v>
      </c>
      <c r="F24" s="13" t="s">
        <v>67</v>
      </c>
      <c r="G24" s="13" t="s">
        <v>9</v>
      </c>
      <c r="H24" s="15" t="s">
        <v>12</v>
      </c>
    </row>
    <row r="25" spans="1:12" x14ac:dyDescent="0.25">
      <c r="A25" s="16" t="s">
        <v>26</v>
      </c>
      <c r="B25" s="1" t="s">
        <v>3</v>
      </c>
      <c r="C25" s="1" t="s">
        <v>1</v>
      </c>
      <c r="D25" s="17">
        <v>4885</v>
      </c>
      <c r="F25" s="1" t="s">
        <v>67</v>
      </c>
      <c r="G25" s="1" t="s">
        <v>10</v>
      </c>
      <c r="H25" s="18" t="s">
        <v>13</v>
      </c>
    </row>
    <row r="26" spans="1:12" x14ac:dyDescent="0.25">
      <c r="A26" s="16" t="s">
        <v>26</v>
      </c>
      <c r="B26" s="1" t="s">
        <v>3</v>
      </c>
      <c r="C26" s="1" t="s">
        <v>2</v>
      </c>
      <c r="D26" s="17">
        <f>D24-D25</f>
        <v>2467.3100000000004</v>
      </c>
      <c r="F26" s="1" t="s">
        <v>67</v>
      </c>
      <c r="G26" s="1" t="s">
        <v>11</v>
      </c>
      <c r="H26" s="18" t="s">
        <v>14</v>
      </c>
      <c r="L26" s="3"/>
    </row>
    <row r="27" spans="1:12" x14ac:dyDescent="0.25">
      <c r="A27" s="16"/>
      <c r="D27" s="17"/>
      <c r="F27" s="1"/>
      <c r="H27" s="18"/>
    </row>
    <row r="28" spans="1:12" x14ac:dyDescent="0.25">
      <c r="A28" s="16" t="s">
        <v>26</v>
      </c>
      <c r="B28" s="1" t="s">
        <v>5</v>
      </c>
      <c r="C28" s="1" t="s">
        <v>0</v>
      </c>
      <c r="D28" s="17">
        <f>D24</f>
        <v>7352.31</v>
      </c>
      <c r="F28" s="1"/>
      <c r="H28" s="18"/>
      <c r="L28" s="3"/>
    </row>
    <row r="29" spans="1:12" ht="15.75" thickBot="1" x14ac:dyDescent="0.3">
      <c r="A29" s="20" t="s">
        <v>26</v>
      </c>
      <c r="B29" s="21" t="s">
        <v>5</v>
      </c>
      <c r="C29" s="21" t="s">
        <v>2</v>
      </c>
      <c r="D29" s="22">
        <f>D26</f>
        <v>2467.3100000000004</v>
      </c>
      <c r="E29" s="21"/>
      <c r="F29" s="21"/>
      <c r="G29" s="21"/>
      <c r="H29" s="23"/>
      <c r="L29" s="3"/>
    </row>
    <row r="30" spans="1:12" x14ac:dyDescent="0.25">
      <c r="F30" s="1"/>
      <c r="L30" s="3"/>
    </row>
    <row r="31" spans="1:12" ht="15.75" thickBot="1" x14ac:dyDescent="0.3">
      <c r="F31" s="1"/>
      <c r="L31" s="3"/>
    </row>
    <row r="32" spans="1:12" x14ac:dyDescent="0.25">
      <c r="A32" s="12" t="s">
        <v>27</v>
      </c>
      <c r="B32" s="13" t="s">
        <v>3</v>
      </c>
      <c r="C32" s="13" t="s">
        <v>0</v>
      </c>
      <c r="D32" s="14">
        <v>6965.28</v>
      </c>
      <c r="E32" s="13" t="s">
        <v>66</v>
      </c>
      <c r="F32" s="13" t="s">
        <v>67</v>
      </c>
      <c r="G32" s="13" t="s">
        <v>9</v>
      </c>
      <c r="H32" s="15" t="s">
        <v>12</v>
      </c>
    </row>
    <row r="33" spans="1:22" x14ac:dyDescent="0.25">
      <c r="A33" s="16" t="s">
        <v>27</v>
      </c>
      <c r="B33" s="1" t="s">
        <v>3</v>
      </c>
      <c r="C33" s="1" t="s">
        <v>1</v>
      </c>
      <c r="D33" s="17">
        <v>4610.1000000000004</v>
      </c>
      <c r="F33" s="1" t="s">
        <v>67</v>
      </c>
      <c r="G33" s="1" t="s">
        <v>10</v>
      </c>
      <c r="H33" s="18" t="s">
        <v>13</v>
      </c>
    </row>
    <row r="34" spans="1:22" x14ac:dyDescent="0.25">
      <c r="A34" s="16" t="s">
        <v>27</v>
      </c>
      <c r="B34" s="1" t="s">
        <v>3</v>
      </c>
      <c r="C34" s="1" t="s">
        <v>2</v>
      </c>
      <c r="D34" s="17">
        <f>D32-D33</f>
        <v>2355.1799999999994</v>
      </c>
      <c r="F34" s="1" t="s">
        <v>67</v>
      </c>
      <c r="G34" s="1" t="s">
        <v>11</v>
      </c>
      <c r="H34" s="18" t="s">
        <v>14</v>
      </c>
    </row>
    <row r="35" spans="1:22" x14ac:dyDescent="0.25">
      <c r="A35" s="16"/>
      <c r="D35" s="17"/>
      <c r="F35" s="1"/>
      <c r="H35" s="18"/>
    </row>
    <row r="36" spans="1:22" x14ac:dyDescent="0.25">
      <c r="A36" s="16" t="s">
        <v>27</v>
      </c>
      <c r="B36" s="1" t="s">
        <v>5</v>
      </c>
      <c r="C36" s="1" t="s">
        <v>0</v>
      </c>
      <c r="D36" s="17">
        <f>D32</f>
        <v>6965.28</v>
      </c>
      <c r="F36" s="1"/>
      <c r="H36" s="18"/>
      <c r="N36" s="7"/>
      <c r="P36" s="10"/>
      <c r="Q36" s="10"/>
      <c r="R36" s="8"/>
      <c r="S36" s="8"/>
      <c r="T36" s="8"/>
    </row>
    <row r="37" spans="1:22" ht="15.75" thickBot="1" x14ac:dyDescent="0.3">
      <c r="A37" s="20" t="s">
        <v>27</v>
      </c>
      <c r="B37" s="21" t="s">
        <v>5</v>
      </c>
      <c r="C37" s="21" t="s">
        <v>2</v>
      </c>
      <c r="D37" s="22">
        <f>D34</f>
        <v>2355.1799999999994</v>
      </c>
      <c r="E37" s="21"/>
      <c r="F37" s="21"/>
      <c r="G37" s="21"/>
      <c r="H37" s="23"/>
      <c r="N37" s="7"/>
      <c r="P37" s="10"/>
      <c r="Q37" s="10"/>
      <c r="R37" s="8"/>
      <c r="S37" s="8"/>
      <c r="T37" s="8"/>
    </row>
    <row r="38" spans="1:22" x14ac:dyDescent="0.25">
      <c r="F38" s="1"/>
      <c r="H38" s="8"/>
      <c r="N38" s="7"/>
      <c r="P38" s="10"/>
      <c r="Q38" s="10"/>
      <c r="R38" s="8"/>
      <c r="S38" s="8"/>
      <c r="T38" s="8"/>
    </row>
    <row r="39" spans="1:22" ht="15.75" thickBot="1" x14ac:dyDescent="0.3">
      <c r="F39" s="1"/>
      <c r="H39" s="11"/>
      <c r="N39" s="7"/>
      <c r="P39" s="10"/>
      <c r="Q39" s="10"/>
      <c r="R39" s="8"/>
      <c r="S39" s="8"/>
      <c r="T39" s="8"/>
    </row>
    <row r="40" spans="1:22" x14ac:dyDescent="0.25">
      <c r="A40" s="12" t="s">
        <v>34</v>
      </c>
      <c r="B40" s="13" t="s">
        <v>3</v>
      </c>
      <c r="C40" s="13" t="s">
        <v>0</v>
      </c>
      <c r="D40" s="14">
        <v>6604.8</v>
      </c>
      <c r="E40" s="13" t="s">
        <v>38</v>
      </c>
      <c r="F40" s="13" t="s">
        <v>67</v>
      </c>
      <c r="G40" s="13" t="s">
        <v>9</v>
      </c>
      <c r="H40" s="15" t="s">
        <v>12</v>
      </c>
      <c r="N40" s="7"/>
      <c r="P40" s="10"/>
      <c r="Q40" s="10"/>
      <c r="R40" s="8"/>
      <c r="S40" s="8"/>
      <c r="T40" s="8"/>
    </row>
    <row r="41" spans="1:22" x14ac:dyDescent="0.25">
      <c r="A41" s="16" t="s">
        <v>34</v>
      </c>
      <c r="B41" s="1" t="s">
        <v>3</v>
      </c>
      <c r="C41" s="1" t="s">
        <v>1</v>
      </c>
      <c r="D41" s="17">
        <v>4675.6000000000004</v>
      </c>
      <c r="F41" s="1" t="s">
        <v>67</v>
      </c>
      <c r="G41" s="1" t="s">
        <v>10</v>
      </c>
      <c r="H41" s="18" t="s">
        <v>13</v>
      </c>
      <c r="N41" s="8"/>
      <c r="P41" s="10"/>
      <c r="Q41" s="10"/>
      <c r="R41" s="8"/>
      <c r="S41" s="8"/>
      <c r="T41" s="8"/>
    </row>
    <row r="42" spans="1:22" x14ac:dyDescent="0.25">
      <c r="A42" s="16" t="s">
        <v>34</v>
      </c>
      <c r="B42" s="1" t="s">
        <v>3</v>
      </c>
      <c r="C42" s="1" t="s">
        <v>2</v>
      </c>
      <c r="D42" s="17">
        <f>D40-D41</f>
        <v>1929.1999999999998</v>
      </c>
      <c r="F42" s="1" t="s">
        <v>67</v>
      </c>
      <c r="G42" s="1" t="s">
        <v>11</v>
      </c>
      <c r="H42" s="18" t="s">
        <v>14</v>
      </c>
      <c r="I42" s="8"/>
      <c r="P42" s="10"/>
      <c r="Q42" s="10"/>
      <c r="R42" s="8"/>
      <c r="S42" s="8"/>
      <c r="T42" s="8"/>
      <c r="V42" s="11"/>
    </row>
    <row r="43" spans="1:22" x14ac:dyDescent="0.25">
      <c r="A43" s="16"/>
      <c r="D43" s="17"/>
      <c r="F43" s="1"/>
      <c r="H43" s="18"/>
      <c r="N43" s="8"/>
      <c r="P43" s="10"/>
      <c r="Q43" s="10"/>
      <c r="R43" s="8"/>
      <c r="S43" s="8"/>
      <c r="T43" s="8"/>
    </row>
    <row r="44" spans="1:22" x14ac:dyDescent="0.25">
      <c r="A44" s="16" t="s">
        <v>34</v>
      </c>
      <c r="B44" s="1" t="s">
        <v>4</v>
      </c>
      <c r="C44" s="1" t="s">
        <v>0</v>
      </c>
      <c r="D44" s="17">
        <v>4675.6000000000004</v>
      </c>
      <c r="F44" s="1" t="s">
        <v>67</v>
      </c>
      <c r="G44" s="1" t="s">
        <v>7</v>
      </c>
      <c r="H44" s="18" t="s">
        <v>23</v>
      </c>
      <c r="P44" s="10"/>
      <c r="Q44" s="10"/>
      <c r="R44" s="8"/>
      <c r="S44" s="8"/>
      <c r="T44" s="8"/>
    </row>
    <row r="45" spans="1:22" x14ac:dyDescent="0.25">
      <c r="A45" s="16" t="s">
        <v>34</v>
      </c>
      <c r="B45" s="1" t="s">
        <v>4</v>
      </c>
      <c r="C45" s="1" t="s">
        <v>2</v>
      </c>
      <c r="D45" s="17">
        <f>D44</f>
        <v>4675.6000000000004</v>
      </c>
      <c r="F45" s="1" t="s">
        <v>67</v>
      </c>
      <c r="G45" s="1" t="s">
        <v>8</v>
      </c>
      <c r="H45" s="18" t="s">
        <v>24</v>
      </c>
      <c r="P45" s="10"/>
      <c r="Q45" s="10"/>
      <c r="R45" s="8"/>
      <c r="S45" s="8"/>
      <c r="T45" s="8"/>
    </row>
    <row r="46" spans="1:22" x14ac:dyDescent="0.25">
      <c r="A46" s="16"/>
      <c r="D46" s="17"/>
      <c r="F46" s="1"/>
      <c r="H46" s="18"/>
      <c r="P46" s="10"/>
      <c r="Q46" s="10"/>
      <c r="R46" s="8"/>
      <c r="S46" s="8"/>
      <c r="T46" s="8"/>
      <c r="V46" s="8"/>
    </row>
    <row r="47" spans="1:22" x14ac:dyDescent="0.25">
      <c r="A47" s="16" t="s">
        <v>34</v>
      </c>
      <c r="B47" s="1" t="s">
        <v>5</v>
      </c>
      <c r="C47" s="1" t="s">
        <v>0</v>
      </c>
      <c r="D47" s="17">
        <f>D40+D44</f>
        <v>11280.400000000001</v>
      </c>
      <c r="F47" s="1"/>
      <c r="H47" s="18"/>
      <c r="V47" s="8"/>
    </row>
    <row r="48" spans="1:22" ht="15.75" thickBot="1" x14ac:dyDescent="0.3">
      <c r="A48" s="20" t="s">
        <v>34</v>
      </c>
      <c r="B48" s="21" t="s">
        <v>5</v>
      </c>
      <c r="C48" s="21" t="s">
        <v>2</v>
      </c>
      <c r="D48" s="22">
        <f>D42+D45</f>
        <v>6604.8</v>
      </c>
      <c r="E48" s="21"/>
      <c r="F48" s="21"/>
      <c r="G48" s="21"/>
      <c r="H48" s="23"/>
    </row>
    <row r="49" spans="1:18" x14ac:dyDescent="0.25">
      <c r="F49" s="1"/>
    </row>
    <row r="50" spans="1:18" ht="15.75" thickBot="1" x14ac:dyDescent="0.3">
      <c r="F50" s="1"/>
      <c r="N50" s="11"/>
    </row>
    <row r="51" spans="1:18" x14ac:dyDescent="0.25">
      <c r="A51" s="26" t="s">
        <v>37</v>
      </c>
      <c r="B51" s="13" t="s">
        <v>3</v>
      </c>
      <c r="C51" s="13" t="s">
        <v>0</v>
      </c>
      <c r="D51" s="14">
        <v>6100.97</v>
      </c>
      <c r="E51" s="13" t="s">
        <v>35</v>
      </c>
      <c r="F51" s="13" t="s">
        <v>67</v>
      </c>
      <c r="G51" s="13" t="s">
        <v>9</v>
      </c>
      <c r="H51" s="15" t="s">
        <v>12</v>
      </c>
      <c r="R51" s="8"/>
    </row>
    <row r="52" spans="1:18" x14ac:dyDescent="0.25">
      <c r="A52" s="24" t="s">
        <v>37</v>
      </c>
      <c r="B52" s="1" t="s">
        <v>3</v>
      </c>
      <c r="C52" s="1" t="s">
        <v>1</v>
      </c>
      <c r="D52" s="17">
        <v>0</v>
      </c>
      <c r="F52" s="1" t="s">
        <v>67</v>
      </c>
      <c r="G52" s="1" t="s">
        <v>10</v>
      </c>
      <c r="H52" s="18" t="s">
        <v>13</v>
      </c>
      <c r="N52" s="11"/>
    </row>
    <row r="53" spans="1:18" x14ac:dyDescent="0.25">
      <c r="A53" s="24" t="s">
        <v>37</v>
      </c>
      <c r="B53" s="1" t="s">
        <v>3</v>
      </c>
      <c r="C53" s="1" t="s">
        <v>2</v>
      </c>
      <c r="D53" s="17">
        <f>D51-D52</f>
        <v>6100.97</v>
      </c>
      <c r="F53" s="1" t="s">
        <v>67</v>
      </c>
      <c r="G53" s="1" t="s">
        <v>11</v>
      </c>
      <c r="H53" s="18" t="s">
        <v>14</v>
      </c>
    </row>
    <row r="54" spans="1:18" x14ac:dyDescent="0.25">
      <c r="A54" s="16"/>
      <c r="D54" s="17"/>
      <c r="F54" s="1"/>
      <c r="H54" s="18"/>
    </row>
    <row r="55" spans="1:18" x14ac:dyDescent="0.25">
      <c r="A55" s="24" t="s">
        <v>37</v>
      </c>
      <c r="B55" s="1" t="s">
        <v>36</v>
      </c>
      <c r="C55" s="1" t="s">
        <v>0</v>
      </c>
      <c r="D55" s="17">
        <v>2602.64</v>
      </c>
      <c r="F55" s="1" t="s">
        <v>67</v>
      </c>
      <c r="G55" s="1" t="s">
        <v>18</v>
      </c>
      <c r="H55" s="18" t="s">
        <v>17</v>
      </c>
    </row>
    <row r="56" spans="1:18" x14ac:dyDescent="0.25">
      <c r="A56" s="24" t="s">
        <v>37</v>
      </c>
      <c r="B56" s="1" t="s">
        <v>36</v>
      </c>
      <c r="C56" s="1" t="s">
        <v>2</v>
      </c>
      <c r="D56" s="17">
        <f>D55</f>
        <v>2602.64</v>
      </c>
      <c r="F56" s="1" t="s">
        <v>67</v>
      </c>
      <c r="G56" s="1" t="s">
        <v>22</v>
      </c>
      <c r="H56" s="18" t="s">
        <v>21</v>
      </c>
    </row>
    <row r="57" spans="1:18" x14ac:dyDescent="0.25">
      <c r="A57" s="16"/>
      <c r="D57" s="17"/>
      <c r="F57" s="1"/>
      <c r="H57" s="18"/>
    </row>
    <row r="58" spans="1:18" x14ac:dyDescent="0.25">
      <c r="A58" s="24" t="s">
        <v>37</v>
      </c>
      <c r="B58" s="1" t="s">
        <v>5</v>
      </c>
      <c r="C58" s="1" t="s">
        <v>0</v>
      </c>
      <c r="D58" s="17">
        <f>D51+D55</f>
        <v>8703.61</v>
      </c>
      <c r="F58" s="1"/>
      <c r="H58" s="18"/>
    </row>
    <row r="59" spans="1:18" ht="15.75" thickBot="1" x14ac:dyDescent="0.3">
      <c r="A59" s="25" t="s">
        <v>37</v>
      </c>
      <c r="B59" s="21" t="s">
        <v>5</v>
      </c>
      <c r="C59" s="21" t="s">
        <v>2</v>
      </c>
      <c r="D59" s="22">
        <f>D53+D56</f>
        <v>8703.61</v>
      </c>
      <c r="E59" s="21"/>
      <c r="F59" s="21"/>
      <c r="G59" s="21"/>
      <c r="H59" s="23"/>
    </row>
    <row r="61" spans="1:18" ht="15.75" thickBot="1" x14ac:dyDescent="0.3"/>
    <row r="62" spans="1:18" x14ac:dyDescent="0.25">
      <c r="A62" s="26" t="s">
        <v>42</v>
      </c>
      <c r="B62" s="13" t="s">
        <v>3</v>
      </c>
      <c r="C62" s="13" t="s">
        <v>0</v>
      </c>
      <c r="D62" s="14">
        <v>8907.36</v>
      </c>
      <c r="E62" s="13" t="s">
        <v>39</v>
      </c>
      <c r="F62" s="13" t="s">
        <v>67</v>
      </c>
      <c r="G62" s="13" t="s">
        <v>9</v>
      </c>
      <c r="H62" s="15" t="s">
        <v>12</v>
      </c>
    </row>
    <row r="63" spans="1:18" x14ac:dyDescent="0.25">
      <c r="A63" s="24" t="s">
        <v>42</v>
      </c>
      <c r="B63" s="1" t="s">
        <v>3</v>
      </c>
      <c r="C63" s="1" t="s">
        <v>1</v>
      </c>
      <c r="D63" s="17">
        <v>0</v>
      </c>
      <c r="F63" s="1" t="s">
        <v>67</v>
      </c>
      <c r="G63" s="1" t="s">
        <v>10</v>
      </c>
      <c r="H63" s="18" t="s">
        <v>13</v>
      </c>
    </row>
    <row r="64" spans="1:18" x14ac:dyDescent="0.25">
      <c r="A64" s="24" t="s">
        <v>42</v>
      </c>
      <c r="B64" s="1" t="s">
        <v>3</v>
      </c>
      <c r="C64" s="1" t="s">
        <v>2</v>
      </c>
      <c r="D64" s="17">
        <f>D62-D63</f>
        <v>8907.36</v>
      </c>
      <c r="F64" s="1" t="s">
        <v>67</v>
      </c>
      <c r="G64" s="1" t="s">
        <v>11</v>
      </c>
      <c r="H64" s="18" t="s">
        <v>14</v>
      </c>
    </row>
    <row r="65" spans="1:8" x14ac:dyDescent="0.25">
      <c r="A65" s="16"/>
      <c r="D65" s="17"/>
      <c r="F65" s="1"/>
      <c r="H65" s="18"/>
    </row>
    <row r="66" spans="1:8" x14ac:dyDescent="0.25">
      <c r="A66" s="24" t="s">
        <v>42</v>
      </c>
      <c r="B66" s="1" t="s">
        <v>36</v>
      </c>
      <c r="C66" s="1" t="s">
        <v>0</v>
      </c>
      <c r="D66" s="17">
        <v>3111.36</v>
      </c>
      <c r="F66" s="1" t="s">
        <v>67</v>
      </c>
      <c r="G66" s="1" t="s">
        <v>18</v>
      </c>
      <c r="H66" s="18" t="s">
        <v>17</v>
      </c>
    </row>
    <row r="67" spans="1:8" x14ac:dyDescent="0.25">
      <c r="A67" s="24" t="s">
        <v>42</v>
      </c>
      <c r="B67" s="1" t="s">
        <v>36</v>
      </c>
      <c r="C67" s="1" t="s">
        <v>2</v>
      </c>
      <c r="D67" s="17">
        <f>D66</f>
        <v>3111.36</v>
      </c>
      <c r="F67" s="1" t="s">
        <v>67</v>
      </c>
      <c r="G67" s="1" t="s">
        <v>22</v>
      </c>
      <c r="H67" s="18" t="s">
        <v>21</v>
      </c>
    </row>
    <row r="68" spans="1:8" x14ac:dyDescent="0.25">
      <c r="A68" s="16"/>
      <c r="D68" s="17"/>
      <c r="F68" s="1"/>
      <c r="H68" s="18"/>
    </row>
    <row r="69" spans="1:8" x14ac:dyDescent="0.25">
      <c r="A69" s="24" t="s">
        <v>42</v>
      </c>
      <c r="B69" s="1" t="s">
        <v>5</v>
      </c>
      <c r="C69" s="1" t="s">
        <v>0</v>
      </c>
      <c r="D69" s="17">
        <f>D62+D66</f>
        <v>12018.720000000001</v>
      </c>
      <c r="F69" s="1"/>
      <c r="H69" s="18"/>
    </row>
    <row r="70" spans="1:8" ht="15.75" thickBot="1" x14ac:dyDescent="0.3">
      <c r="A70" s="25" t="s">
        <v>42</v>
      </c>
      <c r="B70" s="21" t="s">
        <v>5</v>
      </c>
      <c r="C70" s="21" t="s">
        <v>2</v>
      </c>
      <c r="D70" s="22">
        <f>D64+D67</f>
        <v>12018.720000000001</v>
      </c>
      <c r="E70" s="21"/>
      <c r="F70" s="21"/>
      <c r="G70" s="21"/>
      <c r="H70" s="23"/>
    </row>
    <row r="72" spans="1:8" ht="15.75" thickBot="1" x14ac:dyDescent="0.3">
      <c r="A72" s="2"/>
      <c r="F72" s="1"/>
    </row>
    <row r="73" spans="1:8" x14ac:dyDescent="0.25">
      <c r="A73" s="26" t="s">
        <v>41</v>
      </c>
      <c r="B73" s="13" t="s">
        <v>3</v>
      </c>
      <c r="C73" s="13" t="s">
        <v>0</v>
      </c>
      <c r="D73" s="14">
        <v>7687.11</v>
      </c>
      <c r="E73" s="13" t="s">
        <v>40</v>
      </c>
      <c r="F73" s="13" t="s">
        <v>67</v>
      </c>
      <c r="G73" s="13" t="s">
        <v>9</v>
      </c>
      <c r="H73" s="15" t="s">
        <v>12</v>
      </c>
    </row>
    <row r="74" spans="1:8" x14ac:dyDescent="0.25">
      <c r="A74" s="24" t="s">
        <v>41</v>
      </c>
      <c r="B74" s="1" t="s">
        <v>3</v>
      </c>
      <c r="C74" s="1" t="s">
        <v>1</v>
      </c>
      <c r="D74" s="17">
        <v>0</v>
      </c>
      <c r="F74" s="1" t="s">
        <v>67</v>
      </c>
      <c r="G74" s="1" t="s">
        <v>10</v>
      </c>
      <c r="H74" s="18" t="s">
        <v>13</v>
      </c>
    </row>
    <row r="75" spans="1:8" x14ac:dyDescent="0.25">
      <c r="A75" s="24" t="s">
        <v>41</v>
      </c>
      <c r="B75" s="1" t="s">
        <v>3</v>
      </c>
      <c r="C75" s="1" t="s">
        <v>2</v>
      </c>
      <c r="D75" s="17">
        <f>D73-D74</f>
        <v>7687.11</v>
      </c>
      <c r="F75" s="1" t="s">
        <v>67</v>
      </c>
      <c r="G75" s="1" t="s">
        <v>11</v>
      </c>
      <c r="H75" s="18" t="s">
        <v>14</v>
      </c>
    </row>
    <row r="76" spans="1:8" x14ac:dyDescent="0.25">
      <c r="A76" s="16"/>
      <c r="D76" s="17"/>
      <c r="F76" s="1"/>
      <c r="H76" s="18"/>
    </row>
    <row r="77" spans="1:8" x14ac:dyDescent="0.25">
      <c r="A77" s="24" t="s">
        <v>41</v>
      </c>
      <c r="B77" s="1" t="s">
        <v>36</v>
      </c>
      <c r="C77" s="1" t="s">
        <v>0</v>
      </c>
      <c r="D77" s="17">
        <v>1242.3</v>
      </c>
      <c r="F77" s="1" t="s">
        <v>67</v>
      </c>
      <c r="G77" s="1" t="s">
        <v>18</v>
      </c>
      <c r="H77" s="18" t="s">
        <v>17</v>
      </c>
    </row>
    <row r="78" spans="1:8" x14ac:dyDescent="0.25">
      <c r="A78" s="24" t="s">
        <v>41</v>
      </c>
      <c r="B78" s="1" t="s">
        <v>36</v>
      </c>
      <c r="C78" s="1" t="s">
        <v>2</v>
      </c>
      <c r="D78" s="17">
        <f>D77</f>
        <v>1242.3</v>
      </c>
      <c r="F78" s="1" t="s">
        <v>67</v>
      </c>
      <c r="G78" s="1" t="s">
        <v>22</v>
      </c>
      <c r="H78" s="18" t="s">
        <v>21</v>
      </c>
    </row>
    <row r="79" spans="1:8" x14ac:dyDescent="0.25">
      <c r="A79" s="16"/>
      <c r="D79" s="17"/>
      <c r="F79" s="1"/>
      <c r="H79" s="18"/>
    </row>
    <row r="80" spans="1:8" x14ac:dyDescent="0.25">
      <c r="A80" s="24" t="s">
        <v>41</v>
      </c>
      <c r="B80" s="1" t="s">
        <v>5</v>
      </c>
      <c r="C80" s="1" t="s">
        <v>0</v>
      </c>
      <c r="D80" s="17">
        <f>D73+D77</f>
        <v>8929.41</v>
      </c>
      <c r="F80" s="1"/>
      <c r="H80" s="18"/>
    </row>
    <row r="81" spans="1:8" ht="15.75" thickBot="1" x14ac:dyDescent="0.3">
      <c r="A81" s="25" t="s">
        <v>41</v>
      </c>
      <c r="B81" s="21" t="s">
        <v>5</v>
      </c>
      <c r="C81" s="21" t="s">
        <v>2</v>
      </c>
      <c r="D81" s="22">
        <f>D75+D78</f>
        <v>8929.41</v>
      </c>
      <c r="E81" s="21"/>
      <c r="F81" s="21"/>
      <c r="G81" s="21"/>
      <c r="H81" s="23"/>
    </row>
    <row r="83" spans="1:8" ht="15.75" thickBot="1" x14ac:dyDescent="0.3"/>
    <row r="84" spans="1:8" x14ac:dyDescent="0.25">
      <c r="A84" s="26" t="s">
        <v>43</v>
      </c>
      <c r="B84" s="13" t="s">
        <v>3</v>
      </c>
      <c r="C84" s="13" t="s">
        <v>0</v>
      </c>
      <c r="D84" s="14">
        <v>9199.08</v>
      </c>
      <c r="E84" s="13" t="s">
        <v>44</v>
      </c>
      <c r="F84" s="13" t="s">
        <v>67</v>
      </c>
      <c r="G84" s="13" t="s">
        <v>9</v>
      </c>
      <c r="H84" s="15" t="s">
        <v>12</v>
      </c>
    </row>
    <row r="85" spans="1:8" x14ac:dyDescent="0.25">
      <c r="A85" s="24" t="s">
        <v>43</v>
      </c>
      <c r="B85" s="1" t="s">
        <v>3</v>
      </c>
      <c r="C85" s="1" t="s">
        <v>1</v>
      </c>
      <c r="D85" s="17">
        <v>2968.2</v>
      </c>
      <c r="F85" s="1" t="s">
        <v>67</v>
      </c>
      <c r="G85" s="1" t="s">
        <v>10</v>
      </c>
      <c r="H85" s="18" t="s">
        <v>13</v>
      </c>
    </row>
    <row r="86" spans="1:8" x14ac:dyDescent="0.25">
      <c r="A86" s="24" t="s">
        <v>43</v>
      </c>
      <c r="B86" s="1" t="s">
        <v>3</v>
      </c>
      <c r="C86" s="1" t="s">
        <v>2</v>
      </c>
      <c r="D86" s="17">
        <f>D84-D85</f>
        <v>6230.88</v>
      </c>
      <c r="F86" s="1" t="s">
        <v>67</v>
      </c>
      <c r="G86" s="1" t="s">
        <v>11</v>
      </c>
      <c r="H86" s="18" t="s">
        <v>14</v>
      </c>
    </row>
    <row r="87" spans="1:8" x14ac:dyDescent="0.25">
      <c r="A87" s="16"/>
      <c r="D87" s="17"/>
      <c r="F87" s="1"/>
      <c r="H87" s="18"/>
    </row>
    <row r="88" spans="1:8" x14ac:dyDescent="0.25">
      <c r="A88" s="24" t="s">
        <v>43</v>
      </c>
      <c r="B88" s="1" t="s">
        <v>36</v>
      </c>
      <c r="C88" s="1" t="s">
        <v>0</v>
      </c>
      <c r="D88" s="17">
        <v>1321.08</v>
      </c>
      <c r="F88" s="1" t="s">
        <v>67</v>
      </c>
      <c r="G88" s="1" t="s">
        <v>18</v>
      </c>
      <c r="H88" s="18" t="s">
        <v>17</v>
      </c>
    </row>
    <row r="89" spans="1:8" x14ac:dyDescent="0.25">
      <c r="A89" s="24" t="s">
        <v>43</v>
      </c>
      <c r="B89" s="1" t="s">
        <v>36</v>
      </c>
      <c r="C89" s="1" t="s">
        <v>2</v>
      </c>
      <c r="D89" s="17">
        <f>D88</f>
        <v>1321.08</v>
      </c>
      <c r="F89" s="1" t="s">
        <v>67</v>
      </c>
      <c r="G89" s="1" t="s">
        <v>22</v>
      </c>
      <c r="H89" s="18" t="s">
        <v>21</v>
      </c>
    </row>
    <row r="90" spans="1:8" x14ac:dyDescent="0.25">
      <c r="A90" s="16"/>
      <c r="D90" s="17"/>
      <c r="F90" s="1"/>
      <c r="H90" s="18"/>
    </row>
    <row r="91" spans="1:8" x14ac:dyDescent="0.25">
      <c r="A91" s="24" t="s">
        <v>43</v>
      </c>
      <c r="B91" s="1" t="s">
        <v>5</v>
      </c>
      <c r="C91" s="1" t="s">
        <v>0</v>
      </c>
      <c r="D91" s="17">
        <f>D84+D88</f>
        <v>10520.16</v>
      </c>
      <c r="F91" s="1"/>
      <c r="H91" s="18"/>
    </row>
    <row r="92" spans="1:8" ht="15.75" thickBot="1" x14ac:dyDescent="0.3">
      <c r="A92" s="25" t="s">
        <v>43</v>
      </c>
      <c r="B92" s="21" t="s">
        <v>5</v>
      </c>
      <c r="C92" s="21" t="s">
        <v>2</v>
      </c>
      <c r="D92" s="22">
        <f>D86+D89</f>
        <v>7551.96</v>
      </c>
      <c r="E92" s="21"/>
      <c r="F92" s="21"/>
      <c r="G92" s="21"/>
      <c r="H92" s="23"/>
    </row>
    <row r="94" spans="1:8" ht="15.75" thickBot="1" x14ac:dyDescent="0.3">
      <c r="F94" s="1"/>
    </row>
    <row r="95" spans="1:8" x14ac:dyDescent="0.25">
      <c r="A95" s="26" t="s">
        <v>45</v>
      </c>
      <c r="B95" s="13" t="s">
        <v>3</v>
      </c>
      <c r="C95" s="13" t="s">
        <v>0</v>
      </c>
      <c r="D95" s="14">
        <v>44763.83</v>
      </c>
      <c r="E95" s="13" t="s">
        <v>46</v>
      </c>
      <c r="F95" s="13" t="s">
        <v>67</v>
      </c>
      <c r="G95" s="13" t="s">
        <v>9</v>
      </c>
      <c r="H95" s="15" t="s">
        <v>12</v>
      </c>
    </row>
    <row r="96" spans="1:8" x14ac:dyDescent="0.25">
      <c r="A96" s="24" t="s">
        <v>45</v>
      </c>
      <c r="B96" s="1" t="s">
        <v>3</v>
      </c>
      <c r="C96" s="1" t="s">
        <v>1</v>
      </c>
      <c r="D96" s="17">
        <v>0</v>
      </c>
      <c r="F96" s="1" t="s">
        <v>67</v>
      </c>
      <c r="G96" s="1" t="s">
        <v>10</v>
      </c>
      <c r="H96" s="18" t="s">
        <v>13</v>
      </c>
    </row>
    <row r="97" spans="1:8" x14ac:dyDescent="0.25">
      <c r="A97" s="24" t="s">
        <v>45</v>
      </c>
      <c r="B97" s="1" t="s">
        <v>3</v>
      </c>
      <c r="C97" s="1" t="s">
        <v>2</v>
      </c>
      <c r="D97" s="17">
        <f>D95-D96</f>
        <v>44763.83</v>
      </c>
      <c r="F97" s="1" t="s">
        <v>67</v>
      </c>
      <c r="G97" s="1" t="s">
        <v>11</v>
      </c>
      <c r="H97" s="18" t="s">
        <v>14</v>
      </c>
    </row>
    <row r="98" spans="1:8" x14ac:dyDescent="0.25">
      <c r="A98" s="24"/>
      <c r="D98" s="17"/>
      <c r="F98" s="1"/>
      <c r="H98" s="18"/>
    </row>
    <row r="99" spans="1:8" x14ac:dyDescent="0.25">
      <c r="A99" s="24" t="s">
        <v>45</v>
      </c>
      <c r="B99" s="1" t="s">
        <v>36</v>
      </c>
      <c r="C99" s="1" t="s">
        <v>0</v>
      </c>
      <c r="D99" s="17">
        <v>34259.699999999997</v>
      </c>
      <c r="F99" s="1" t="s">
        <v>67</v>
      </c>
      <c r="G99" s="1" t="s">
        <v>18</v>
      </c>
      <c r="H99" s="18" t="s">
        <v>17</v>
      </c>
    </row>
    <row r="100" spans="1:8" x14ac:dyDescent="0.25">
      <c r="A100" s="24" t="s">
        <v>45</v>
      </c>
      <c r="B100" s="1" t="s">
        <v>36</v>
      </c>
      <c r="C100" s="1" t="s">
        <v>2</v>
      </c>
      <c r="D100" s="17">
        <f>D99</f>
        <v>34259.699999999997</v>
      </c>
      <c r="F100" s="1" t="s">
        <v>67</v>
      </c>
      <c r="G100" s="1" t="s">
        <v>22</v>
      </c>
      <c r="H100" s="18" t="s">
        <v>21</v>
      </c>
    </row>
    <row r="101" spans="1:8" x14ac:dyDescent="0.25">
      <c r="A101" s="24"/>
      <c r="D101" s="17"/>
      <c r="F101" s="1"/>
      <c r="H101" s="18"/>
    </row>
    <row r="102" spans="1:8" x14ac:dyDescent="0.25">
      <c r="A102" s="24" t="s">
        <v>45</v>
      </c>
      <c r="B102" s="1" t="s">
        <v>5</v>
      </c>
      <c r="C102" s="1" t="s">
        <v>0</v>
      </c>
      <c r="D102" s="17">
        <f>D95+D99</f>
        <v>79023.53</v>
      </c>
      <c r="F102" s="1"/>
      <c r="H102" s="18"/>
    </row>
    <row r="103" spans="1:8" ht="15.75" thickBot="1" x14ac:dyDescent="0.3">
      <c r="A103" s="25" t="s">
        <v>45</v>
      </c>
      <c r="B103" s="21" t="s">
        <v>5</v>
      </c>
      <c r="C103" s="21" t="s">
        <v>2</v>
      </c>
      <c r="D103" s="22">
        <f>D97+D100</f>
        <v>79023.53</v>
      </c>
      <c r="E103" s="21"/>
      <c r="F103" s="21"/>
      <c r="G103" s="21"/>
      <c r="H103" s="23"/>
    </row>
    <row r="104" spans="1:8" x14ac:dyDescent="0.25">
      <c r="F104" s="1"/>
    </row>
    <row r="105" spans="1:8" ht="15.75" thickBot="1" x14ac:dyDescent="0.3">
      <c r="F105" s="1"/>
    </row>
    <row r="106" spans="1:8" x14ac:dyDescent="0.25">
      <c r="A106" s="12">
        <v>9018252</v>
      </c>
      <c r="B106" s="13" t="s">
        <v>3</v>
      </c>
      <c r="C106" s="13" t="s">
        <v>0</v>
      </c>
      <c r="D106" s="14">
        <v>0</v>
      </c>
      <c r="E106" s="13" t="s">
        <v>48</v>
      </c>
      <c r="F106" s="13" t="s">
        <v>67</v>
      </c>
      <c r="G106" s="13" t="s">
        <v>9</v>
      </c>
      <c r="H106" s="15" t="s">
        <v>12</v>
      </c>
    </row>
    <row r="107" spans="1:8" x14ac:dyDescent="0.25">
      <c r="A107" s="16">
        <v>9018252</v>
      </c>
      <c r="B107" s="1" t="s">
        <v>3</v>
      </c>
      <c r="C107" s="1" t="s">
        <v>1</v>
      </c>
      <c r="D107" s="17">
        <v>0</v>
      </c>
      <c r="F107" s="1" t="s">
        <v>67</v>
      </c>
      <c r="G107" s="1" t="s">
        <v>10</v>
      </c>
      <c r="H107" s="18" t="s">
        <v>13</v>
      </c>
    </row>
    <row r="108" spans="1:8" x14ac:dyDescent="0.25">
      <c r="A108" s="16">
        <v>9018252</v>
      </c>
      <c r="B108" s="1" t="s">
        <v>3</v>
      </c>
      <c r="C108" s="1" t="s">
        <v>2</v>
      </c>
      <c r="D108" s="17">
        <f>D106-D107</f>
        <v>0</v>
      </c>
      <c r="F108" s="1" t="s">
        <v>67</v>
      </c>
      <c r="G108" s="1" t="s">
        <v>11</v>
      </c>
      <c r="H108" s="18" t="s">
        <v>14</v>
      </c>
    </row>
    <row r="109" spans="1:8" x14ac:dyDescent="0.25">
      <c r="A109" s="16"/>
      <c r="D109" s="17"/>
      <c r="F109" s="1"/>
      <c r="H109" s="18"/>
    </row>
    <row r="110" spans="1:8" x14ac:dyDescent="0.25">
      <c r="A110" s="16">
        <v>9018252</v>
      </c>
      <c r="B110" s="1" t="s">
        <v>47</v>
      </c>
      <c r="C110" s="1" t="s">
        <v>0</v>
      </c>
      <c r="D110" s="17">
        <v>150.84</v>
      </c>
      <c r="F110" s="1" t="s">
        <v>67</v>
      </c>
      <c r="G110" s="1" t="s">
        <v>16</v>
      </c>
      <c r="H110" s="18" t="s">
        <v>15</v>
      </c>
    </row>
    <row r="111" spans="1:8" x14ac:dyDescent="0.25">
      <c r="A111" s="16">
        <v>9018252</v>
      </c>
      <c r="B111" s="1" t="s">
        <v>47</v>
      </c>
      <c r="C111" s="1" t="s">
        <v>2</v>
      </c>
      <c r="D111" s="17">
        <f>D110</f>
        <v>150.84</v>
      </c>
      <c r="F111" s="1" t="s">
        <v>67</v>
      </c>
      <c r="G111" s="1" t="s">
        <v>20</v>
      </c>
      <c r="H111" s="18" t="s">
        <v>19</v>
      </c>
    </row>
    <row r="112" spans="1:8" x14ac:dyDescent="0.25">
      <c r="A112" s="16"/>
      <c r="D112" s="17"/>
      <c r="F112" s="1"/>
      <c r="H112" s="18"/>
    </row>
    <row r="113" spans="1:8" x14ac:dyDescent="0.25">
      <c r="A113" s="16">
        <v>9018252</v>
      </c>
      <c r="B113" s="1" t="s">
        <v>5</v>
      </c>
      <c r="C113" s="1" t="s">
        <v>0</v>
      </c>
      <c r="D113" s="17">
        <f>D106+D110</f>
        <v>150.84</v>
      </c>
      <c r="F113" s="1"/>
      <c r="H113" s="18"/>
    </row>
    <row r="114" spans="1:8" ht="15.75" thickBot="1" x14ac:dyDescent="0.3">
      <c r="A114" s="20">
        <v>9018252</v>
      </c>
      <c r="B114" s="21" t="s">
        <v>5</v>
      </c>
      <c r="C114" s="21" t="s">
        <v>2</v>
      </c>
      <c r="D114" s="22">
        <f>D108+D111</f>
        <v>150.84</v>
      </c>
      <c r="E114" s="21"/>
      <c r="F114" s="21"/>
      <c r="G114" s="21"/>
      <c r="H114" s="23"/>
    </row>
    <row r="115" spans="1:8" x14ac:dyDescent="0.25">
      <c r="F115" s="1"/>
    </row>
    <row r="116" spans="1:8" ht="15.75" thickBot="1" x14ac:dyDescent="0.3">
      <c r="F116" s="1"/>
    </row>
    <row r="117" spans="1:8" x14ac:dyDescent="0.25">
      <c r="A117" s="12">
        <v>9018253</v>
      </c>
      <c r="B117" s="13" t="s">
        <v>3</v>
      </c>
      <c r="C117" s="13" t="s">
        <v>0</v>
      </c>
      <c r="D117" s="14">
        <v>0</v>
      </c>
      <c r="E117" s="13" t="s">
        <v>48</v>
      </c>
      <c r="F117" s="13" t="s">
        <v>67</v>
      </c>
      <c r="G117" s="13" t="s">
        <v>9</v>
      </c>
      <c r="H117" s="15" t="s">
        <v>12</v>
      </c>
    </row>
    <row r="118" spans="1:8" x14ac:dyDescent="0.25">
      <c r="A118" s="16">
        <v>9018253</v>
      </c>
      <c r="B118" s="1" t="s">
        <v>3</v>
      </c>
      <c r="C118" s="1" t="s">
        <v>1</v>
      </c>
      <c r="D118" s="17">
        <v>0</v>
      </c>
      <c r="F118" s="1" t="s">
        <v>67</v>
      </c>
      <c r="G118" s="1" t="s">
        <v>10</v>
      </c>
      <c r="H118" s="18" t="s">
        <v>13</v>
      </c>
    </row>
    <row r="119" spans="1:8" x14ac:dyDescent="0.25">
      <c r="A119" s="16">
        <v>9018253</v>
      </c>
      <c r="B119" s="1" t="s">
        <v>3</v>
      </c>
      <c r="C119" s="1" t="s">
        <v>2</v>
      </c>
      <c r="D119" s="17">
        <f>D117-D118</f>
        <v>0</v>
      </c>
      <c r="F119" s="1" t="s">
        <v>67</v>
      </c>
      <c r="G119" s="1" t="s">
        <v>11</v>
      </c>
      <c r="H119" s="18" t="s">
        <v>14</v>
      </c>
    </row>
    <row r="120" spans="1:8" x14ac:dyDescent="0.25">
      <c r="A120" s="16"/>
      <c r="D120" s="17"/>
      <c r="F120" s="1"/>
      <c r="H120" s="18"/>
    </row>
    <row r="121" spans="1:8" x14ac:dyDescent="0.25">
      <c r="A121" s="16">
        <v>9018253</v>
      </c>
      <c r="B121" s="1" t="s">
        <v>47</v>
      </c>
      <c r="C121" s="1" t="s">
        <v>0</v>
      </c>
      <c r="D121" s="17">
        <v>73.72</v>
      </c>
      <c r="F121" s="1" t="s">
        <v>67</v>
      </c>
      <c r="G121" s="1" t="s">
        <v>16</v>
      </c>
      <c r="H121" s="18" t="s">
        <v>15</v>
      </c>
    </row>
    <row r="122" spans="1:8" x14ac:dyDescent="0.25">
      <c r="A122" s="16">
        <v>9018253</v>
      </c>
      <c r="B122" s="1" t="s">
        <v>47</v>
      </c>
      <c r="C122" s="1" t="s">
        <v>2</v>
      </c>
      <c r="D122" s="17">
        <f>D121</f>
        <v>73.72</v>
      </c>
      <c r="F122" s="1" t="s">
        <v>67</v>
      </c>
      <c r="G122" s="1" t="s">
        <v>20</v>
      </c>
      <c r="H122" s="18" t="s">
        <v>19</v>
      </c>
    </row>
    <row r="123" spans="1:8" x14ac:dyDescent="0.25">
      <c r="A123" s="16"/>
      <c r="D123" s="19"/>
      <c r="F123" s="1"/>
      <c r="H123" s="18"/>
    </row>
    <row r="124" spans="1:8" x14ac:dyDescent="0.25">
      <c r="A124" s="16">
        <v>9018253</v>
      </c>
      <c r="B124" s="1" t="s">
        <v>47</v>
      </c>
      <c r="C124" s="1" t="s">
        <v>0</v>
      </c>
      <c r="D124" s="17">
        <v>175.56</v>
      </c>
      <c r="F124" s="1" t="s">
        <v>67</v>
      </c>
      <c r="G124" s="1" t="s">
        <v>16</v>
      </c>
      <c r="H124" s="18" t="s">
        <v>15</v>
      </c>
    </row>
    <row r="125" spans="1:8" x14ac:dyDescent="0.25">
      <c r="A125" s="16">
        <v>9018253</v>
      </c>
      <c r="B125" s="1" t="s">
        <v>47</v>
      </c>
      <c r="C125" s="1" t="s">
        <v>2</v>
      </c>
      <c r="D125" s="17">
        <f>D124</f>
        <v>175.56</v>
      </c>
      <c r="F125" s="1" t="s">
        <v>67</v>
      </c>
      <c r="G125" s="1" t="s">
        <v>20</v>
      </c>
      <c r="H125" s="18" t="s">
        <v>19</v>
      </c>
    </row>
    <row r="126" spans="1:8" x14ac:dyDescent="0.25">
      <c r="A126" s="16"/>
      <c r="D126" s="19"/>
      <c r="F126" s="1"/>
      <c r="H126" s="18"/>
    </row>
    <row r="127" spans="1:8" x14ac:dyDescent="0.25">
      <c r="A127" s="16">
        <v>9018253</v>
      </c>
      <c r="B127" s="1" t="s">
        <v>47</v>
      </c>
      <c r="C127" s="1" t="s">
        <v>0</v>
      </c>
      <c r="D127" s="17">
        <v>22.8</v>
      </c>
      <c r="F127" s="1" t="s">
        <v>67</v>
      </c>
      <c r="G127" s="1" t="s">
        <v>16</v>
      </c>
      <c r="H127" s="18" t="s">
        <v>15</v>
      </c>
    </row>
    <row r="128" spans="1:8" x14ac:dyDescent="0.25">
      <c r="A128" s="16">
        <v>9018253</v>
      </c>
      <c r="B128" s="1" t="s">
        <v>47</v>
      </c>
      <c r="C128" s="1" t="s">
        <v>2</v>
      </c>
      <c r="D128" s="17">
        <f>D127</f>
        <v>22.8</v>
      </c>
      <c r="F128" s="1" t="s">
        <v>67</v>
      </c>
      <c r="G128" s="1" t="s">
        <v>20</v>
      </c>
      <c r="H128" s="18" t="s">
        <v>19</v>
      </c>
    </row>
    <row r="129" spans="1:8" x14ac:dyDescent="0.25">
      <c r="A129" s="16"/>
      <c r="D129" s="19"/>
      <c r="F129" s="1"/>
      <c r="H129" s="18"/>
    </row>
    <row r="130" spans="1:8" x14ac:dyDescent="0.25">
      <c r="A130" s="16">
        <v>9018253</v>
      </c>
      <c r="B130" s="1" t="s">
        <v>5</v>
      </c>
      <c r="C130" s="1" t="s">
        <v>0</v>
      </c>
      <c r="D130" s="17">
        <f>D127+D124+D121+D117</f>
        <v>272.08000000000004</v>
      </c>
      <c r="F130" s="1"/>
      <c r="H130" s="18"/>
    </row>
    <row r="131" spans="1:8" ht="15.75" thickBot="1" x14ac:dyDescent="0.3">
      <c r="A131" s="20">
        <v>9018253</v>
      </c>
      <c r="B131" s="21" t="s">
        <v>5</v>
      </c>
      <c r="C131" s="21" t="s">
        <v>2</v>
      </c>
      <c r="D131" s="22">
        <f>D125+D128+D122+D119</f>
        <v>272.08000000000004</v>
      </c>
      <c r="E131" s="21"/>
      <c r="F131" s="21"/>
      <c r="G131" s="21"/>
      <c r="H131" s="23"/>
    </row>
    <row r="132" spans="1:8" x14ac:dyDescent="0.25">
      <c r="F132" s="1"/>
    </row>
    <row r="133" spans="1:8" x14ac:dyDescent="0.25">
      <c r="F133" s="1"/>
    </row>
    <row r="134" spans="1:8" x14ac:dyDescent="0.25">
      <c r="F134" s="1"/>
    </row>
    <row r="135" spans="1:8" x14ac:dyDescent="0.25">
      <c r="F135" s="1"/>
    </row>
    <row r="136" spans="1:8" x14ac:dyDescent="0.25">
      <c r="F136" s="1"/>
    </row>
    <row r="137" spans="1:8" x14ac:dyDescent="0.25">
      <c r="F137" s="1"/>
    </row>
    <row r="138" spans="1:8" x14ac:dyDescent="0.25">
      <c r="F138" s="1"/>
    </row>
    <row r="139" spans="1:8" x14ac:dyDescent="0.25">
      <c r="F139" s="1"/>
    </row>
    <row r="140" spans="1:8" x14ac:dyDescent="0.25">
      <c r="F140" s="1"/>
    </row>
    <row r="141" spans="1:8" x14ac:dyDescent="0.25">
      <c r="F141" s="1"/>
    </row>
    <row r="142" spans="1:8" x14ac:dyDescent="0.25">
      <c r="F142" s="1"/>
    </row>
    <row r="143" spans="1:8" x14ac:dyDescent="0.25">
      <c r="F143" s="1"/>
    </row>
    <row r="144" spans="1:8" x14ac:dyDescent="0.25">
      <c r="F144" s="1"/>
    </row>
    <row r="145" spans="6:6" x14ac:dyDescent="0.25">
      <c r="F145" s="1"/>
    </row>
    <row r="146" spans="6:6" x14ac:dyDescent="0.25">
      <c r="F146" s="1"/>
    </row>
    <row r="147" spans="6:6" x14ac:dyDescent="0.25">
      <c r="F147" s="1"/>
    </row>
    <row r="148" spans="6:6" x14ac:dyDescent="0.25">
      <c r="F148" s="1"/>
    </row>
    <row r="149" spans="6:6" x14ac:dyDescent="0.25">
      <c r="F149" s="1"/>
    </row>
    <row r="150" spans="6:6" x14ac:dyDescent="0.25">
      <c r="F150" s="1"/>
    </row>
    <row r="151" spans="6:6" x14ac:dyDescent="0.25">
      <c r="F151" s="1"/>
    </row>
    <row r="152" spans="6:6" x14ac:dyDescent="0.25">
      <c r="F152" s="1"/>
    </row>
    <row r="153" spans="6:6" x14ac:dyDescent="0.25">
      <c r="F153" s="1"/>
    </row>
    <row r="154" spans="6:6" x14ac:dyDescent="0.25">
      <c r="F154" s="1"/>
    </row>
    <row r="155" spans="6:6" x14ac:dyDescent="0.25">
      <c r="F155" s="1"/>
    </row>
    <row r="156" spans="6:6" x14ac:dyDescent="0.25">
      <c r="F156" s="1"/>
    </row>
    <row r="157" spans="6:6" x14ac:dyDescent="0.25">
      <c r="F157" s="1"/>
    </row>
    <row r="158" spans="6:6" x14ac:dyDescent="0.25">
      <c r="F158" s="1"/>
    </row>
    <row r="159" spans="6:6" x14ac:dyDescent="0.25">
      <c r="F159" s="1"/>
    </row>
    <row r="160" spans="6:6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  <row r="372" spans="6:6" x14ac:dyDescent="0.25">
      <c r="F372" s="1"/>
    </row>
    <row r="373" spans="6:6" x14ac:dyDescent="0.25">
      <c r="F373" s="1"/>
    </row>
    <row r="374" spans="6:6" x14ac:dyDescent="0.25">
      <c r="F374" s="1"/>
    </row>
    <row r="375" spans="6:6" x14ac:dyDescent="0.25">
      <c r="F375" s="1"/>
    </row>
    <row r="376" spans="6:6" x14ac:dyDescent="0.25">
      <c r="F376" s="1"/>
    </row>
    <row r="377" spans="6:6" x14ac:dyDescent="0.25">
      <c r="F377" s="1"/>
    </row>
    <row r="378" spans="6:6" x14ac:dyDescent="0.25">
      <c r="F378" s="1"/>
    </row>
    <row r="379" spans="6:6" x14ac:dyDescent="0.25">
      <c r="F379" s="1"/>
    </row>
    <row r="380" spans="6:6" x14ac:dyDescent="0.25">
      <c r="F380" s="1"/>
    </row>
    <row r="381" spans="6:6" x14ac:dyDescent="0.25">
      <c r="F381" s="1"/>
    </row>
    <row r="382" spans="6:6" x14ac:dyDescent="0.25">
      <c r="F382" s="1"/>
    </row>
    <row r="383" spans="6:6" x14ac:dyDescent="0.25">
      <c r="F383" s="1"/>
    </row>
    <row r="384" spans="6:6" x14ac:dyDescent="0.25">
      <c r="F384" s="1"/>
    </row>
    <row r="385" spans="6:6" x14ac:dyDescent="0.25">
      <c r="F385" s="1"/>
    </row>
    <row r="386" spans="6:6" x14ac:dyDescent="0.25">
      <c r="F386" s="1"/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398" spans="6:6" x14ac:dyDescent="0.25">
      <c r="F398" s="1"/>
    </row>
    <row r="399" spans="6:6" x14ac:dyDescent="0.25">
      <c r="F399" s="1"/>
    </row>
    <row r="400" spans="6:6" x14ac:dyDescent="0.25">
      <c r="F400" s="1"/>
    </row>
    <row r="401" spans="6:6" x14ac:dyDescent="0.25">
      <c r="F401" s="1"/>
    </row>
    <row r="402" spans="6:6" x14ac:dyDescent="0.25">
      <c r="F402" s="1"/>
    </row>
    <row r="403" spans="6:6" x14ac:dyDescent="0.25">
      <c r="F403" s="1"/>
    </row>
    <row r="404" spans="6:6" x14ac:dyDescent="0.25">
      <c r="F404" s="1"/>
    </row>
    <row r="405" spans="6:6" x14ac:dyDescent="0.25">
      <c r="F405" s="1"/>
    </row>
    <row r="406" spans="6:6" x14ac:dyDescent="0.25">
      <c r="F406" s="1"/>
    </row>
    <row r="407" spans="6:6" x14ac:dyDescent="0.25">
      <c r="F4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6A65-BA0F-4A6D-A7F5-1D1A836CB685}">
  <dimension ref="A1:H17"/>
  <sheetViews>
    <sheetView workbookViewId="0">
      <selection activeCell="F1" sqref="F1"/>
    </sheetView>
  </sheetViews>
  <sheetFormatPr defaultRowHeight="15" x14ac:dyDescent="0.25"/>
  <cols>
    <col min="1" max="1" width="13.28515625" style="1" customWidth="1"/>
    <col min="2" max="2" width="17.85546875" style="1" bestFit="1" customWidth="1"/>
    <col min="3" max="3" width="18" style="1" bestFit="1" customWidth="1"/>
    <col min="4" max="4" width="11.5703125" style="1" bestFit="1" customWidth="1"/>
    <col min="5" max="5" width="15.140625" style="1" customWidth="1"/>
    <col min="6" max="6" width="35.42578125" style="1" bestFit="1" customWidth="1"/>
    <col min="7" max="7" width="9.140625" style="1"/>
    <col min="8" max="8" width="22" style="1" bestFit="1" customWidth="1"/>
    <col min="9" max="12" width="9.140625" style="1"/>
    <col min="13" max="13" width="11" style="1" bestFit="1" customWidth="1"/>
    <col min="14" max="16384" width="9.140625" style="1"/>
  </cols>
  <sheetData>
    <row r="1" spans="1:8" s="4" customFormat="1" x14ac:dyDescent="0.25">
      <c r="A1" s="4" t="s">
        <v>28</v>
      </c>
      <c r="B1" s="4" t="s">
        <v>29</v>
      </c>
      <c r="C1" s="4" t="s">
        <v>30</v>
      </c>
      <c r="D1" s="5" t="s">
        <v>31</v>
      </c>
      <c r="E1" s="4" t="s">
        <v>49</v>
      </c>
      <c r="F1" s="4" t="s">
        <v>60</v>
      </c>
      <c r="G1" s="4" t="s">
        <v>33</v>
      </c>
      <c r="H1" s="4" t="s">
        <v>32</v>
      </c>
    </row>
    <row r="2" spans="1:8" x14ac:dyDescent="0.25">
      <c r="A2" s="1" t="s">
        <v>51</v>
      </c>
      <c r="B2" s="1" t="s">
        <v>52</v>
      </c>
      <c r="C2" s="1" t="s">
        <v>53</v>
      </c>
      <c r="D2" s="6">
        <v>22292.52</v>
      </c>
      <c r="E2" s="1" t="s">
        <v>50</v>
      </c>
      <c r="F2" s="1" t="s">
        <v>61</v>
      </c>
      <c r="G2" s="1" t="s">
        <v>63</v>
      </c>
      <c r="H2" s="7" t="s">
        <v>59</v>
      </c>
    </row>
    <row r="3" spans="1:8" x14ac:dyDescent="0.25">
      <c r="A3" s="1" t="s">
        <v>51</v>
      </c>
      <c r="B3" s="1" t="s">
        <v>52</v>
      </c>
      <c r="C3" s="1" t="s">
        <v>54</v>
      </c>
      <c r="D3" s="6">
        <v>22292.52</v>
      </c>
      <c r="F3" s="1" t="s">
        <v>61</v>
      </c>
      <c r="G3" s="1" t="s">
        <v>62</v>
      </c>
      <c r="H3" s="7" t="s">
        <v>58</v>
      </c>
    </row>
    <row r="4" spans="1:8" x14ac:dyDescent="0.25">
      <c r="D4" s="6"/>
    </row>
    <row r="6" spans="1:8" x14ac:dyDescent="0.25">
      <c r="A6" s="1" t="s">
        <v>55</v>
      </c>
      <c r="B6" s="1" t="s">
        <v>52</v>
      </c>
      <c r="C6" s="1" t="s">
        <v>53</v>
      </c>
      <c r="D6" s="6">
        <v>5536.53</v>
      </c>
      <c r="E6" s="1" t="s">
        <v>50</v>
      </c>
      <c r="F6" s="1" t="s">
        <v>61</v>
      </c>
      <c r="G6" s="1" t="s">
        <v>63</v>
      </c>
      <c r="H6" s="7" t="s">
        <v>59</v>
      </c>
    </row>
    <row r="7" spans="1:8" x14ac:dyDescent="0.25">
      <c r="A7" s="1" t="s">
        <v>55</v>
      </c>
      <c r="B7" s="1" t="s">
        <v>52</v>
      </c>
      <c r="C7" s="1" t="s">
        <v>56</v>
      </c>
      <c r="D7" s="6">
        <v>1670.5</v>
      </c>
      <c r="F7" s="1" t="s">
        <v>61</v>
      </c>
      <c r="G7" s="1" t="s">
        <v>18</v>
      </c>
      <c r="H7" s="7" t="s">
        <v>57</v>
      </c>
    </row>
    <row r="8" spans="1:8" x14ac:dyDescent="0.25">
      <c r="A8" s="1" t="s">
        <v>55</v>
      </c>
      <c r="B8" s="1" t="s">
        <v>52</v>
      </c>
      <c r="C8" s="1" t="s">
        <v>54</v>
      </c>
      <c r="D8" s="6">
        <v>3866.03</v>
      </c>
      <c r="F8" s="1" t="s">
        <v>61</v>
      </c>
      <c r="G8" s="1" t="s">
        <v>62</v>
      </c>
      <c r="H8" s="7" t="s">
        <v>58</v>
      </c>
    </row>
    <row r="10" spans="1:8" x14ac:dyDescent="0.25">
      <c r="D10" s="8">
        <f>D6-D7</f>
        <v>3866.0299999999997</v>
      </c>
    </row>
    <row r="13" spans="1:8" x14ac:dyDescent="0.25">
      <c r="A13" s="1" t="s">
        <v>64</v>
      </c>
      <c r="B13" s="1" t="s">
        <v>52</v>
      </c>
      <c r="C13" s="1" t="s">
        <v>53</v>
      </c>
      <c r="D13" s="6">
        <v>13026.2</v>
      </c>
      <c r="E13" s="1" t="s">
        <v>65</v>
      </c>
      <c r="F13" s="1" t="s">
        <v>61</v>
      </c>
      <c r="G13" s="1" t="s">
        <v>63</v>
      </c>
      <c r="H13" s="7" t="s">
        <v>59</v>
      </c>
    </row>
    <row r="14" spans="1:8" x14ac:dyDescent="0.25">
      <c r="A14" s="1" t="s">
        <v>64</v>
      </c>
      <c r="B14" s="1" t="s">
        <v>52</v>
      </c>
      <c r="C14" s="1" t="s">
        <v>56</v>
      </c>
      <c r="D14" s="6">
        <v>0</v>
      </c>
      <c r="F14" s="1" t="s">
        <v>61</v>
      </c>
      <c r="G14" s="1" t="s">
        <v>18</v>
      </c>
      <c r="H14" s="7" t="s">
        <v>57</v>
      </c>
    </row>
    <row r="15" spans="1:8" x14ac:dyDescent="0.25">
      <c r="A15" s="1" t="s">
        <v>64</v>
      </c>
      <c r="B15" s="1" t="s">
        <v>52</v>
      </c>
      <c r="C15" s="1" t="s">
        <v>54</v>
      </c>
      <c r="D15" s="6">
        <v>13026.2</v>
      </c>
      <c r="F15" s="1" t="s">
        <v>61</v>
      </c>
      <c r="G15" s="1" t="s">
        <v>62</v>
      </c>
      <c r="H15" s="7" t="s">
        <v>58</v>
      </c>
    </row>
    <row r="17" spans="4:4" x14ac:dyDescent="0.25">
      <c r="D17" s="8">
        <f>D13-D14</f>
        <v>13026.2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Non-ISWL</vt:lpstr>
      <vt:lpstr>ISWL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Scow</dc:creator>
  <cp:lastModifiedBy>Warren Hughes</cp:lastModifiedBy>
  <dcterms:created xsi:type="dcterms:W3CDTF">2026-07-02T13:21:43Z</dcterms:created>
  <dcterms:modified xsi:type="dcterms:W3CDTF">2026-07-08T15:43:09Z</dcterms:modified>
</cp:coreProperties>
</file>